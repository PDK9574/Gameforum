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51B4F3-9134-4DC4-B916-C882E22D45F1}" xr6:coauthVersionLast="36" xr6:coauthVersionMax="36" xr10:uidLastSave="{00000000-0000-0000-0000-000000000000}"/>
  <bookViews>
    <workbookView xWindow="32760" yWindow="32760" windowWidth="28800" windowHeight="12180" tabRatio="604" activeTab="1" xr2:uid="{00000000-000D-0000-FFFF-FFFF00000000}"/>
  </bookViews>
  <sheets>
    <sheet name="十月份" sheetId="1" r:id="rId1"/>
    <sheet name="十一月份" sheetId="2" r:id="rId2"/>
  </sheets>
  <calcPr calcId="191029"/>
</workbook>
</file>

<file path=xl/calcChain.xml><?xml version="1.0" encoding="utf-8"?>
<calcChain xmlns="http://schemas.openxmlformats.org/spreadsheetml/2006/main">
  <c r="I11" i="2" l="1"/>
  <c r="I6" i="2"/>
  <c r="F5" i="2"/>
  <c r="F4" i="2"/>
  <c r="F6" i="2" s="1"/>
  <c r="K6" i="2" s="1"/>
  <c r="K8" i="2" s="1"/>
  <c r="I7" i="2"/>
  <c r="I8" i="2" s="1"/>
  <c r="I10" i="2"/>
  <c r="I9" i="2"/>
  <c r="F10" i="2"/>
  <c r="F9" i="2"/>
  <c r="F8" i="2" l="1"/>
  <c r="F11" i="2"/>
  <c r="I13" i="1"/>
  <c r="I14" i="1"/>
  <c r="I15" i="1"/>
  <c r="I16" i="1"/>
  <c r="I12" i="1"/>
  <c r="F11" i="1"/>
  <c r="I6" i="1"/>
  <c r="F7" i="1"/>
  <c r="F17" i="1" s="1"/>
  <c r="F8" i="1"/>
  <c r="F9" i="1"/>
  <c r="F10" i="1"/>
  <c r="K11" i="2" l="1"/>
  <c r="I17" i="1"/>
  <c r="F19" i="1"/>
  <c r="F20" i="1"/>
  <c r="F18" i="1"/>
  <c r="F4" i="1"/>
  <c r="F5" i="1"/>
  <c r="I21" i="1"/>
  <c r="F21" i="1" l="1"/>
  <c r="F6" i="1"/>
  <c r="K6" i="1" s="1"/>
  <c r="K17" i="1" l="1"/>
  <c r="K21" i="1" s="1"/>
</calcChain>
</file>

<file path=xl/sharedStrings.xml><?xml version="1.0" encoding="utf-8"?>
<sst xmlns="http://schemas.openxmlformats.org/spreadsheetml/2006/main" count="61" uniqueCount="34">
  <si>
    <t>活動項目</t>
  </si>
  <si>
    <t>項目</t>
  </si>
  <si>
    <t>日期</t>
  </si>
  <si>
    <t>收入</t>
  </si>
  <si>
    <t>支出</t>
  </si>
  <si>
    <t>備註</t>
  </si>
  <si>
    <t>餘額</t>
  </si>
  <si>
    <t>單價</t>
  </si>
  <si>
    <t>數量</t>
  </si>
  <si>
    <t>小計</t>
  </si>
  <si>
    <t>交接</t>
  </si>
  <si>
    <t>上期結轉（存款）</t>
  </si>
  <si>
    <t>上期結轉（利息）</t>
  </si>
  <si>
    <t>二甲</t>
  </si>
  <si>
    <t>一甲</t>
    <phoneticPr fontId="6" type="noConversion"/>
  </si>
  <si>
    <t>小計</t>
    <phoneticPr fontId="6" type="noConversion"/>
  </si>
  <si>
    <t>迎新</t>
    <phoneticPr fontId="6" type="noConversion"/>
  </si>
  <si>
    <t>三甲</t>
    <phoneticPr fontId="6" type="noConversion"/>
  </si>
  <si>
    <t>三甲(沒繳科費)</t>
    <phoneticPr fontId="6" type="noConversion"/>
  </si>
  <si>
    <t>10/08~10/21</t>
    <phoneticPr fontId="6" type="noConversion"/>
  </si>
  <si>
    <t>二甲(沒繳科費)</t>
    <phoneticPr fontId="6" type="noConversion"/>
  </si>
  <si>
    <t>二甲(有繳科費)</t>
    <phoneticPr fontId="6" type="noConversion"/>
  </si>
  <si>
    <t>三甲(有繳科費)</t>
    <phoneticPr fontId="6" type="noConversion"/>
  </si>
  <si>
    <t>迎新訂金</t>
    <phoneticPr fontId="6" type="noConversion"/>
  </si>
  <si>
    <t>遊覽車訂金</t>
    <phoneticPr fontId="6" type="noConversion"/>
  </si>
  <si>
    <t>迎新匯款</t>
    <phoneticPr fontId="6" type="noConversion"/>
  </si>
  <si>
    <t>遊覽車匯款</t>
    <phoneticPr fontId="6" type="noConversion"/>
  </si>
  <si>
    <t>迎新現金</t>
    <phoneticPr fontId="6" type="noConversion"/>
  </si>
  <si>
    <t>保險費</t>
    <phoneticPr fontId="6" type="noConversion"/>
  </si>
  <si>
    <t>科費</t>
    <phoneticPr fontId="6" type="noConversion"/>
  </si>
  <si>
    <t>109學年度　國立台北商業大學　資訊管理科　科學會　財務報表　（十月份）</t>
    <phoneticPr fontId="6" type="noConversion"/>
  </si>
  <si>
    <t>109學年度　國立台北商業大學　資訊管理科　科學會　財務報表　（十一月份）</t>
    <phoneticPr fontId="6" type="noConversion"/>
  </si>
  <si>
    <t>七科歌唱競賽</t>
    <phoneticPr fontId="6" type="noConversion"/>
  </si>
  <si>
    <t>核銷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</si>
</sst>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\(#,##0\)"/>
    <numFmt numFmtId="177" formatCode="_-* #,##0.00_-;\-* #,##0.00_-;_-* \-??_-;_-@_-"/>
    <numFmt numFmtId="178" formatCode="m/d;@"/>
    <numFmt numFmtId="179" formatCode="_-* #,##0_-;\-* #,##0_-;_-* \-??_-;_-@_-"/>
  </numFmts>
  <fonts count="12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b/>
      <sz val="10"/>
      <color theme="1" tint="4.9989318521683403E-2"/>
      <name val="新細明體"/>
      <family val="1"/>
      <charset val="136"/>
    </font>
    <font>
      <sz val="10"/>
      <color theme="1" tint="4.9989318521683403E-2"/>
      <name val="新細明體"/>
      <family val="1"/>
      <charset val="136"/>
    </font>
    <font>
      <sz val="12"/>
      <color rgb="FF3F3F76"/>
      <name val="新細明體"/>
      <family val="2"/>
      <charset val="136"/>
      <scheme val="minor"/>
    </font>
    <font>
      <sz val="12"/>
      <color theme="1" tint="4.9989318521683403E-2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27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26"/>
      </patternFill>
    </fill>
    <fill>
      <patternFill patternType="solid">
        <fgColor rgb="FFFFC000"/>
        <bgColor indexed="2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177" fontId="7" fillId="0" borderId="0" applyFill="0" applyBorder="0" applyProtection="0">
      <alignment vertical="center"/>
    </xf>
    <xf numFmtId="0" fontId="10" fillId="2" borderId="5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>
      <alignment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176" fontId="2" fillId="0" borderId="1" xfId="1" applyNumberFormat="1" applyFont="1" applyFill="1" applyBorder="1" applyAlignment="1" applyProtection="1">
      <alignment vertical="center"/>
    </xf>
    <xf numFmtId="176" fontId="2" fillId="0" borderId="1" xfId="1" applyNumberFormat="1" applyFont="1" applyFill="1" applyBorder="1" applyAlignment="1" applyProtection="1">
      <alignment horizontal="left" vertical="center"/>
    </xf>
    <xf numFmtId="176" fontId="2" fillId="0" borderId="1" xfId="1" applyNumberFormat="1" applyFont="1" applyFill="1" applyBorder="1" applyAlignment="1" applyProtection="1">
      <alignment horizontal="center" vertical="center"/>
    </xf>
    <xf numFmtId="176" fontId="1" fillId="4" borderId="1" xfId="3" applyNumberForma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left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left" vertical="center"/>
    </xf>
    <xf numFmtId="176" fontId="3" fillId="5" borderId="1" xfId="0" applyNumberFormat="1" applyFont="1" applyFill="1" applyBorder="1">
      <alignment vertical="center"/>
    </xf>
    <xf numFmtId="176" fontId="3" fillId="5" borderId="1" xfId="1" applyNumberFormat="1" applyFont="1" applyFill="1" applyBorder="1" applyAlignment="1" applyProtection="1">
      <alignment vertical="center"/>
    </xf>
    <xf numFmtId="176" fontId="2" fillId="5" borderId="1" xfId="1" applyNumberFormat="1" applyFont="1" applyFill="1" applyBorder="1" applyAlignment="1" applyProtection="1">
      <alignment horizontal="center" vertical="center"/>
    </xf>
    <xf numFmtId="176" fontId="9" fillId="6" borderId="1" xfId="0" applyNumberFormat="1" applyFont="1" applyFill="1" applyBorder="1">
      <alignment vertical="center"/>
    </xf>
    <xf numFmtId="176" fontId="9" fillId="6" borderId="1" xfId="1" applyNumberFormat="1" applyFont="1" applyFill="1" applyBorder="1" applyAlignment="1" applyProtection="1">
      <alignment vertical="center"/>
    </xf>
    <xf numFmtId="176" fontId="8" fillId="6" borderId="1" xfId="1" applyNumberFormat="1" applyFont="1" applyFill="1" applyBorder="1" applyAlignment="1" applyProtection="1">
      <alignment vertical="center"/>
    </xf>
    <xf numFmtId="176" fontId="4" fillId="7" borderId="1" xfId="0" applyNumberFormat="1" applyFont="1" applyFill="1" applyBorder="1" applyAlignment="1">
      <alignment horizontal="left" vertical="center"/>
    </xf>
    <xf numFmtId="176" fontId="2" fillId="7" borderId="1" xfId="0" applyNumberFormat="1" applyFont="1" applyFill="1" applyBorder="1">
      <alignment vertical="center"/>
    </xf>
    <xf numFmtId="176" fontId="4" fillId="7" borderId="1" xfId="0" applyNumberFormat="1" applyFont="1" applyFill="1" applyBorder="1">
      <alignment vertical="center"/>
    </xf>
    <xf numFmtId="179" fontId="4" fillId="7" borderId="1" xfId="1" applyNumberFormat="1" applyFont="1" applyFill="1" applyBorder="1" applyAlignment="1" applyProtection="1">
      <alignment vertical="center"/>
    </xf>
    <xf numFmtId="176" fontId="4" fillId="8" borderId="1" xfId="0" applyNumberFormat="1" applyFont="1" applyFill="1" applyBorder="1" applyAlignment="1">
      <alignment horizontal="left" vertical="center"/>
    </xf>
    <xf numFmtId="176" fontId="2" fillId="8" borderId="1" xfId="0" applyNumberFormat="1" applyFont="1" applyFill="1" applyBorder="1">
      <alignment vertical="center"/>
    </xf>
    <xf numFmtId="176" fontId="4" fillId="8" borderId="1" xfId="0" applyNumberFormat="1" applyFont="1" applyFill="1" applyBorder="1">
      <alignment vertical="center"/>
    </xf>
    <xf numFmtId="179" fontId="4" fillId="8" borderId="1" xfId="1" applyNumberFormat="1" applyFont="1" applyFill="1" applyBorder="1" applyAlignment="1" applyProtection="1">
      <alignment vertical="center"/>
    </xf>
    <xf numFmtId="178" fontId="3" fillId="5" borderId="3" xfId="0" applyNumberFormat="1" applyFont="1" applyFill="1" applyBorder="1" applyAlignment="1">
      <alignment horizontal="center" vertical="center" wrapText="1"/>
    </xf>
    <xf numFmtId="178" fontId="9" fillId="6" borderId="4" xfId="0" applyNumberFormat="1" applyFont="1" applyFill="1" applyBorder="1" applyAlignment="1">
      <alignment horizontal="center" vertical="center" wrapText="1"/>
    </xf>
    <xf numFmtId="178" fontId="9" fillId="6" borderId="2" xfId="0" applyNumberFormat="1" applyFont="1" applyFill="1" applyBorder="1" applyAlignment="1">
      <alignment horizontal="center" vertical="center" wrapText="1"/>
    </xf>
    <xf numFmtId="176" fontId="2" fillId="5" borderId="3" xfId="0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vertical="center"/>
    </xf>
    <xf numFmtId="178" fontId="3" fillId="5" borderId="3" xfId="0" applyNumberFormat="1" applyFont="1" applyFill="1" applyBorder="1" applyAlignment="1">
      <alignment horizontal="center" vertical="center" wrapText="1"/>
    </xf>
    <xf numFmtId="176" fontId="1" fillId="4" borderId="1" xfId="3" applyNumberFormat="1" applyFill="1" applyBorder="1" applyAlignment="1">
      <alignment horizontal="center" vertical="center"/>
    </xf>
    <xf numFmtId="178" fontId="9" fillId="6" borderId="1" xfId="0" applyNumberFormat="1" applyFont="1" applyFill="1" applyBorder="1" applyAlignment="1">
      <alignment horizontal="center" vertical="center" wrapText="1"/>
    </xf>
    <xf numFmtId="178" fontId="3" fillId="5" borderId="4" xfId="0" applyNumberFormat="1" applyFont="1" applyFill="1" applyBorder="1" applyAlignment="1">
      <alignment horizontal="center" vertical="center" wrapText="1"/>
    </xf>
    <xf numFmtId="178" fontId="3" fillId="5" borderId="2" xfId="0" applyNumberFormat="1" applyFont="1" applyFill="1" applyBorder="1" applyAlignment="1">
      <alignment horizontal="center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6" fontId="2" fillId="5" borderId="6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11" fillId="2" borderId="5" xfId="2" applyNumberFormat="1" applyFont="1" applyAlignment="1">
      <alignment horizontal="center" vertical="center"/>
    </xf>
    <xf numFmtId="176" fontId="10" fillId="2" borderId="5" xfId="2" applyNumberFormat="1" applyAlignment="1">
      <alignment horizontal="center" vertical="center"/>
    </xf>
    <xf numFmtId="176" fontId="1" fillId="4" borderId="1" xfId="3" applyNumberForma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</cellXfs>
  <cellStyles count="4">
    <cellStyle name="20% - 輔色2" xfId="3" builtinId="34"/>
    <cellStyle name="一般" xfId="0" builtinId="0"/>
    <cellStyle name="千分位" xfId="1" builtinId="3"/>
    <cellStyle name="輸入" xfId="2" builtinId="20"/>
  </cellStyles>
  <dxfs count="0"/>
  <tableStyles count="0" defaultTableStyle="TableStyleMedium2" defaultPivotStyle="PivotStyleLight16"/>
  <colors>
    <mruColors>
      <color rgb="FF00CCFF"/>
      <color rgb="FF000099"/>
      <color rgb="FF90D6CF"/>
      <color rgb="FFF2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34"/>
  <sheetViews>
    <sheetView zoomScaleNormal="95" zoomScaleSheetLayoutView="100" workbookViewId="0">
      <pane ySplit="3" topLeftCell="A4" activePane="bottomLeft" state="frozen"/>
      <selection activeCell="B43" sqref="B43"/>
      <selection pane="bottomLeft" activeCell="F17" sqref="F17"/>
    </sheetView>
  </sheetViews>
  <sheetFormatPr defaultRowHeight="15" customHeight="1"/>
  <cols>
    <col min="1" max="1" width="18.375" style="1" customWidth="1"/>
    <col min="2" max="2" width="19.5" style="1" customWidth="1"/>
    <col min="3" max="3" width="9.375" style="2" customWidth="1"/>
    <col min="4" max="5" width="8.75" style="1" customWidth="1"/>
    <col min="6" max="6" width="9.375" style="1" customWidth="1"/>
    <col min="7" max="8" width="8.75" style="1" customWidth="1"/>
    <col min="9" max="9" width="9.375" style="1" customWidth="1"/>
    <col min="10" max="10" width="24" style="1" customWidth="1"/>
    <col min="11" max="11" width="9.375" style="1" customWidth="1"/>
    <col min="12" max="16384" width="9" style="1"/>
  </cols>
  <sheetData>
    <row r="1" spans="1:11" s="3" customFormat="1" ht="22.5" customHeight="1">
      <c r="A1" s="47" t="s">
        <v>30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5" customHeight="1">
      <c r="A2" s="49" t="s">
        <v>0</v>
      </c>
      <c r="B2" s="49" t="s">
        <v>1</v>
      </c>
      <c r="C2" s="49" t="s">
        <v>2</v>
      </c>
      <c r="D2" s="49" t="s">
        <v>3</v>
      </c>
      <c r="E2" s="49"/>
      <c r="F2" s="49"/>
      <c r="G2" s="49" t="s">
        <v>4</v>
      </c>
      <c r="H2" s="49"/>
      <c r="I2" s="49"/>
      <c r="J2" s="49" t="s">
        <v>5</v>
      </c>
      <c r="K2" s="49" t="s">
        <v>6</v>
      </c>
    </row>
    <row r="3" spans="1:11" ht="15" customHeight="1">
      <c r="A3" s="49"/>
      <c r="B3" s="49"/>
      <c r="C3" s="49"/>
      <c r="D3" s="11" t="s">
        <v>7</v>
      </c>
      <c r="E3" s="11" t="s">
        <v>8</v>
      </c>
      <c r="F3" s="11" t="s">
        <v>9</v>
      </c>
      <c r="G3" s="11" t="s">
        <v>7</v>
      </c>
      <c r="H3" s="11" t="s">
        <v>8</v>
      </c>
      <c r="I3" s="11" t="s">
        <v>9</v>
      </c>
      <c r="J3" s="49"/>
      <c r="K3" s="49"/>
    </row>
    <row r="4" spans="1:11" customFormat="1" ht="16.5">
      <c r="A4" s="50" t="s">
        <v>10</v>
      </c>
      <c r="B4" s="6" t="s">
        <v>11</v>
      </c>
      <c r="C4" s="7">
        <v>44122</v>
      </c>
      <c r="D4" s="8">
        <v>182504</v>
      </c>
      <c r="E4" s="8">
        <v>1</v>
      </c>
      <c r="F4" s="8">
        <f>D4*E4</f>
        <v>182504</v>
      </c>
      <c r="G4" s="8"/>
      <c r="H4" s="8"/>
      <c r="I4" s="8"/>
      <c r="J4" s="9"/>
      <c r="K4" s="10"/>
    </row>
    <row r="5" spans="1:11" customFormat="1" ht="16.5">
      <c r="A5" s="50"/>
      <c r="B5" s="6" t="s">
        <v>12</v>
      </c>
      <c r="C5" s="7">
        <v>44122</v>
      </c>
      <c r="D5" s="8"/>
      <c r="E5" s="8"/>
      <c r="F5" s="8">
        <f>D5*E5</f>
        <v>0</v>
      </c>
      <c r="G5" s="8"/>
      <c r="H5" s="8"/>
      <c r="I5" s="8"/>
      <c r="J5" s="9"/>
      <c r="K5" s="10"/>
    </row>
    <row r="6" spans="1:11" customFormat="1" ht="16.5">
      <c r="A6" s="51"/>
      <c r="B6" s="22" t="s">
        <v>15</v>
      </c>
      <c r="C6" s="22"/>
      <c r="D6" s="23"/>
      <c r="E6" s="23"/>
      <c r="F6" s="24">
        <f>SUM(F4:F5)</f>
        <v>182504</v>
      </c>
      <c r="G6" s="23"/>
      <c r="H6" s="23"/>
      <c r="I6" s="24">
        <f>SUM(I4:I4)</f>
        <v>0</v>
      </c>
      <c r="J6" s="23"/>
      <c r="K6" s="25">
        <f>F6-I6</f>
        <v>182504</v>
      </c>
    </row>
    <row r="7" spans="1:11" customFormat="1" ht="16.5">
      <c r="A7" s="42" t="s">
        <v>16</v>
      </c>
      <c r="B7" s="34" t="s">
        <v>14</v>
      </c>
      <c r="C7" s="39" t="s">
        <v>19</v>
      </c>
      <c r="D7" s="14">
        <v>2000</v>
      </c>
      <c r="E7" s="14">
        <v>20</v>
      </c>
      <c r="F7" s="14">
        <f>D7*E7</f>
        <v>40000</v>
      </c>
      <c r="G7" s="13"/>
      <c r="H7" s="13"/>
      <c r="I7" s="13"/>
      <c r="J7" s="15"/>
      <c r="K7" s="13"/>
    </row>
    <row r="8" spans="1:11" customFormat="1" ht="16.5">
      <c r="A8" s="43"/>
      <c r="B8" s="34" t="s">
        <v>20</v>
      </c>
      <c r="C8" s="40"/>
      <c r="D8" s="16">
        <v>2400</v>
      </c>
      <c r="E8" s="16">
        <v>27</v>
      </c>
      <c r="F8" s="17">
        <f>D8*E8</f>
        <v>64800</v>
      </c>
      <c r="G8" s="16"/>
      <c r="H8" s="16"/>
      <c r="I8" s="17"/>
      <c r="J8" s="15"/>
      <c r="K8" s="18"/>
    </row>
    <row r="9" spans="1:11" customFormat="1" ht="16.5">
      <c r="A9" s="43"/>
      <c r="B9" s="34" t="s">
        <v>21</v>
      </c>
      <c r="C9" s="40"/>
      <c r="D9" s="16">
        <v>2000</v>
      </c>
      <c r="E9" s="16">
        <v>2</v>
      </c>
      <c r="F9" s="17">
        <f>D9*E9</f>
        <v>4000</v>
      </c>
      <c r="G9" s="16"/>
      <c r="H9" s="16"/>
      <c r="I9" s="17"/>
      <c r="J9" s="15"/>
      <c r="K9" s="18"/>
    </row>
    <row r="10" spans="1:11" customFormat="1" ht="16.5">
      <c r="A10" s="43"/>
      <c r="B10" s="34" t="s">
        <v>22</v>
      </c>
      <c r="C10" s="40"/>
      <c r="D10" s="16">
        <v>2000</v>
      </c>
      <c r="E10" s="16">
        <v>34</v>
      </c>
      <c r="F10" s="17">
        <f>D10*E10</f>
        <v>68000</v>
      </c>
      <c r="G10" s="16"/>
      <c r="H10" s="16"/>
      <c r="I10" s="17"/>
      <c r="J10" s="15"/>
      <c r="K10" s="18"/>
    </row>
    <row r="11" spans="1:11" customFormat="1" ht="16.5">
      <c r="A11" s="43"/>
      <c r="B11" s="33" t="s">
        <v>18</v>
      </c>
      <c r="C11" s="41"/>
      <c r="D11" s="16">
        <v>2400</v>
      </c>
      <c r="E11" s="16">
        <v>13</v>
      </c>
      <c r="F11" s="17">
        <f>D11*E11</f>
        <v>31200</v>
      </c>
      <c r="G11" s="16"/>
      <c r="H11" s="16"/>
      <c r="I11" s="17"/>
      <c r="J11" s="15"/>
      <c r="K11" s="18"/>
    </row>
    <row r="12" spans="1:11" customFormat="1" ht="16.5">
      <c r="A12" s="43"/>
      <c r="B12" s="35" t="s">
        <v>23</v>
      </c>
      <c r="C12" s="30">
        <v>44125</v>
      </c>
      <c r="D12" s="16"/>
      <c r="E12" s="16"/>
      <c r="F12" s="17"/>
      <c r="G12" s="16">
        <v>10030</v>
      </c>
      <c r="H12" s="16">
        <v>1</v>
      </c>
      <c r="I12" s="17">
        <f>G12*H12</f>
        <v>10030</v>
      </c>
      <c r="J12" s="15"/>
      <c r="K12" s="18"/>
    </row>
    <row r="13" spans="1:11" customFormat="1" ht="16.5">
      <c r="A13" s="43"/>
      <c r="B13" s="35" t="s">
        <v>24</v>
      </c>
      <c r="C13" s="30">
        <v>44125</v>
      </c>
      <c r="D13" s="16"/>
      <c r="E13" s="16"/>
      <c r="F13" s="17"/>
      <c r="G13" s="16">
        <v>5030</v>
      </c>
      <c r="H13" s="16">
        <v>1</v>
      </c>
      <c r="I13" s="17">
        <f t="shared" ref="I13:I16" si="0">G13*H13</f>
        <v>5030</v>
      </c>
      <c r="J13" s="15"/>
      <c r="K13" s="18"/>
    </row>
    <row r="14" spans="1:11" s="5" customFormat="1" ht="16.5">
      <c r="A14" s="43"/>
      <c r="B14" s="35" t="s">
        <v>25</v>
      </c>
      <c r="C14" s="30">
        <v>44127</v>
      </c>
      <c r="D14" s="16"/>
      <c r="E14" s="16"/>
      <c r="F14" s="17"/>
      <c r="G14" s="16">
        <v>175910</v>
      </c>
      <c r="H14" s="16">
        <v>1</v>
      </c>
      <c r="I14" s="17">
        <f t="shared" si="0"/>
        <v>175910</v>
      </c>
      <c r="J14" s="15"/>
      <c r="K14" s="18"/>
    </row>
    <row r="15" spans="1:11" ht="14.25">
      <c r="A15" s="43"/>
      <c r="B15" s="35" t="s">
        <v>27</v>
      </c>
      <c r="C15" s="30">
        <v>44127</v>
      </c>
      <c r="D15" s="16"/>
      <c r="E15" s="16"/>
      <c r="F15" s="17"/>
      <c r="G15" s="16">
        <v>3070</v>
      </c>
      <c r="H15" s="16">
        <v>1</v>
      </c>
      <c r="I15" s="17">
        <f t="shared" si="0"/>
        <v>3070</v>
      </c>
      <c r="J15" s="15"/>
      <c r="K15" s="18"/>
    </row>
    <row r="16" spans="1:11" ht="14.25">
      <c r="A16" s="43"/>
      <c r="B16" s="35" t="s">
        <v>28</v>
      </c>
      <c r="C16" s="30">
        <v>44127</v>
      </c>
      <c r="D16" s="16"/>
      <c r="E16" s="16"/>
      <c r="F16" s="17"/>
      <c r="G16" s="16">
        <v>3664</v>
      </c>
      <c r="H16" s="16">
        <v>1</v>
      </c>
      <c r="I16" s="17">
        <f t="shared" si="0"/>
        <v>3664</v>
      </c>
      <c r="J16" s="15"/>
      <c r="K16" s="18"/>
    </row>
    <row r="17" spans="1:11" s="4" customFormat="1" ht="15" customHeight="1">
      <c r="A17" s="43"/>
      <c r="B17" s="26" t="s">
        <v>15</v>
      </c>
      <c r="C17" s="26"/>
      <c r="D17" s="27"/>
      <c r="E17" s="27"/>
      <c r="F17" s="28">
        <f>SUM(F7:F16)</f>
        <v>208000</v>
      </c>
      <c r="G17" s="27"/>
      <c r="H17" s="27"/>
      <c r="I17" s="28">
        <f>SUM(I12:I16)</f>
        <v>197704</v>
      </c>
      <c r="J17" s="27"/>
      <c r="K17" s="29">
        <f>K6+F17-I17</f>
        <v>192800</v>
      </c>
    </row>
    <row r="18" spans="1:11" s="4" customFormat="1" ht="15" customHeight="1">
      <c r="A18" s="44" t="s">
        <v>29</v>
      </c>
      <c r="B18" s="19" t="s">
        <v>14</v>
      </c>
      <c r="C18" s="31"/>
      <c r="D18" s="19">
        <v>1500</v>
      </c>
      <c r="E18" s="19">
        <v>44</v>
      </c>
      <c r="F18" s="20">
        <f>D18*E18</f>
        <v>66000</v>
      </c>
      <c r="G18" s="19"/>
      <c r="H18" s="19"/>
      <c r="I18" s="20"/>
      <c r="J18" s="12"/>
      <c r="K18" s="21"/>
    </row>
    <row r="19" spans="1:11" s="4" customFormat="1" ht="15" customHeight="1">
      <c r="A19" s="45"/>
      <c r="B19" s="19" t="s">
        <v>13</v>
      </c>
      <c r="C19" s="32"/>
      <c r="D19" s="19">
        <v>1100</v>
      </c>
      <c r="E19" s="19">
        <v>2</v>
      </c>
      <c r="F19" s="20">
        <f>D19*E19</f>
        <v>2200</v>
      </c>
      <c r="G19" s="19"/>
      <c r="H19" s="19"/>
      <c r="I19" s="20"/>
      <c r="J19" s="12"/>
      <c r="K19" s="21"/>
    </row>
    <row r="20" spans="1:11" s="4" customFormat="1" ht="15" customHeight="1">
      <c r="A20" s="45"/>
      <c r="B20" s="19" t="s">
        <v>17</v>
      </c>
      <c r="C20" s="32"/>
      <c r="D20" s="19">
        <v>1000</v>
      </c>
      <c r="E20" s="19">
        <v>35</v>
      </c>
      <c r="F20" s="20">
        <f>D20*E20</f>
        <v>35000</v>
      </c>
      <c r="G20" s="19"/>
      <c r="H20" s="19"/>
      <c r="I20" s="20"/>
      <c r="J20" s="12"/>
      <c r="K20" s="21"/>
    </row>
    <row r="21" spans="1:11" ht="15" customHeight="1">
      <c r="A21" s="46"/>
      <c r="B21" s="22" t="s">
        <v>15</v>
      </c>
      <c r="C21" s="22"/>
      <c r="D21" s="23"/>
      <c r="E21" s="23"/>
      <c r="F21" s="24">
        <f>SUM(F18:F20)</f>
        <v>103200</v>
      </c>
      <c r="G21" s="23"/>
      <c r="H21" s="23"/>
      <c r="I21" s="24">
        <f>SUM(I18:I18)</f>
        <v>0</v>
      </c>
      <c r="J21" s="23"/>
      <c r="K21" s="25">
        <f>K17+F21-I21</f>
        <v>296000</v>
      </c>
    </row>
    <row r="22" spans="1:11" ht="15" customHeight="1">
      <c r="C22" s="1"/>
    </row>
    <row r="23" spans="1:11" ht="15" customHeight="1">
      <c r="C23" s="1"/>
    </row>
    <row r="24" spans="1:11" ht="15" customHeight="1">
      <c r="C24" s="1"/>
    </row>
    <row r="25" spans="1:11" ht="15" customHeight="1">
      <c r="C25" s="1"/>
    </row>
    <row r="26" spans="1:11" ht="15" customHeight="1">
      <c r="C26" s="1"/>
    </row>
    <row r="31" spans="1:11" ht="15" customHeight="1">
      <c r="C31" s="1"/>
    </row>
    <row r="32" spans="1:11" ht="15" customHeight="1">
      <c r="C32" s="1"/>
    </row>
    <row r="33" spans="3:3" ht="15" customHeight="1">
      <c r="C33" s="1"/>
    </row>
    <row r="34" spans="3:3" ht="15" customHeight="1">
      <c r="C34" s="1"/>
    </row>
  </sheetData>
  <sheetProtection selectLockedCells="1" selectUnlockedCells="1"/>
  <mergeCells count="12">
    <mergeCell ref="C7:C11"/>
    <mergeCell ref="A7:A17"/>
    <mergeCell ref="A18:A21"/>
    <mergeCell ref="A1:K1"/>
    <mergeCell ref="A2:A3"/>
    <mergeCell ref="B2:B3"/>
    <mergeCell ref="C2:C3"/>
    <mergeCell ref="D2:F2"/>
    <mergeCell ref="K2:K3"/>
    <mergeCell ref="G2:I2"/>
    <mergeCell ref="J2:J3"/>
    <mergeCell ref="A4:A6"/>
  </mergeCells>
  <phoneticPr fontId="6" type="noConversion"/>
  <pageMargins left="0.74791666666666667" right="0.74791666666666667" top="0.98402777777777772" bottom="0.98402777777777772" header="0.51180555555555551" footer="0.51180555555555551"/>
  <pageSetup paperSize="9" firstPageNumber="0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9745-036A-4181-B197-358F216AEDF0}">
  <dimension ref="A1:K11"/>
  <sheetViews>
    <sheetView tabSelected="1" workbookViewId="0">
      <selection activeCell="I9" sqref="I9"/>
    </sheetView>
  </sheetViews>
  <sheetFormatPr defaultRowHeight="16.5"/>
  <cols>
    <col min="1" max="1" width="16.75" customWidth="1"/>
    <col min="2" max="2" width="19" customWidth="1"/>
  </cols>
  <sheetData>
    <row r="1" spans="1:11">
      <c r="A1" s="47" t="s">
        <v>31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>
      <c r="A2" s="49" t="s">
        <v>0</v>
      </c>
      <c r="B2" s="49" t="s">
        <v>1</v>
      </c>
      <c r="C2" s="49" t="s">
        <v>2</v>
      </c>
      <c r="D2" s="49" t="s">
        <v>3</v>
      </c>
      <c r="E2" s="49"/>
      <c r="F2" s="49"/>
      <c r="G2" s="49" t="s">
        <v>4</v>
      </c>
      <c r="H2" s="49"/>
      <c r="I2" s="49"/>
      <c r="J2" s="49" t="s">
        <v>5</v>
      </c>
      <c r="K2" s="49" t="s">
        <v>6</v>
      </c>
    </row>
    <row r="3" spans="1:11">
      <c r="A3" s="49"/>
      <c r="B3" s="49"/>
      <c r="C3" s="49"/>
      <c r="D3" s="37" t="s">
        <v>7</v>
      </c>
      <c r="E3" s="37" t="s">
        <v>8</v>
      </c>
      <c r="F3" s="37" t="s">
        <v>9</v>
      </c>
      <c r="G3" s="37" t="s">
        <v>7</v>
      </c>
      <c r="H3" s="37" t="s">
        <v>8</v>
      </c>
      <c r="I3" s="37" t="s">
        <v>9</v>
      </c>
      <c r="J3" s="49"/>
      <c r="K3" s="49"/>
    </row>
    <row r="4" spans="1:11">
      <c r="A4" s="50" t="s">
        <v>10</v>
      </c>
      <c r="B4" s="6" t="s">
        <v>11</v>
      </c>
      <c r="C4" s="7"/>
      <c r="D4" s="8">
        <v>296000</v>
      </c>
      <c r="E4" s="8">
        <v>1</v>
      </c>
      <c r="F4" s="8">
        <f>D4*E4</f>
        <v>296000</v>
      </c>
      <c r="G4" s="8"/>
      <c r="H4" s="8"/>
      <c r="I4" s="8"/>
      <c r="J4" s="9"/>
      <c r="K4" s="10"/>
    </row>
    <row r="5" spans="1:11">
      <c r="A5" s="50"/>
      <c r="B5" s="6" t="s">
        <v>12</v>
      </c>
      <c r="C5" s="7"/>
      <c r="D5" s="8"/>
      <c r="E5" s="8"/>
      <c r="F5" s="8">
        <f>D5*E5</f>
        <v>0</v>
      </c>
      <c r="G5" s="8"/>
      <c r="H5" s="8"/>
      <c r="I5" s="8"/>
      <c r="J5" s="9"/>
      <c r="K5" s="10"/>
    </row>
    <row r="6" spans="1:11">
      <c r="A6" s="50"/>
      <c r="B6" s="22" t="s">
        <v>15</v>
      </c>
      <c r="C6" s="22"/>
      <c r="D6" s="23"/>
      <c r="E6" s="23"/>
      <c r="F6" s="24">
        <f>SUM(F4:F5)</f>
        <v>296000</v>
      </c>
      <c r="G6" s="23"/>
      <c r="H6" s="23"/>
      <c r="I6" s="24">
        <f>SUM(I4:I4)</f>
        <v>0</v>
      </c>
      <c r="J6" s="23"/>
      <c r="K6" s="25">
        <f>F6-I6</f>
        <v>296000</v>
      </c>
    </row>
    <row r="7" spans="1:11">
      <c r="A7" s="52" t="s">
        <v>16</v>
      </c>
      <c r="B7" s="35" t="s">
        <v>26</v>
      </c>
      <c r="C7" s="36">
        <v>44151</v>
      </c>
      <c r="D7" s="16"/>
      <c r="E7" s="16"/>
      <c r="F7" s="17"/>
      <c r="G7" s="16">
        <v>33880</v>
      </c>
      <c r="H7" s="16">
        <v>1</v>
      </c>
      <c r="I7" s="17">
        <f>G7*H7</f>
        <v>33880</v>
      </c>
      <c r="J7" s="15"/>
      <c r="K7" s="18"/>
    </row>
    <row r="8" spans="1:11">
      <c r="A8" s="52"/>
      <c r="B8" s="26" t="s">
        <v>15</v>
      </c>
      <c r="C8" s="26"/>
      <c r="D8" s="27"/>
      <c r="E8" s="27"/>
      <c r="F8" s="28">
        <f>SUM(F7:F7)</f>
        <v>0</v>
      </c>
      <c r="G8" s="27"/>
      <c r="H8" s="27"/>
      <c r="I8" s="28">
        <f>SUM(I7:I7)</f>
        <v>33880</v>
      </c>
      <c r="J8" s="27"/>
      <c r="K8" s="29">
        <f>K6+F8-I8</f>
        <v>262120</v>
      </c>
    </row>
    <row r="9" spans="1:11">
      <c r="A9" s="44" t="s">
        <v>32</v>
      </c>
      <c r="B9" s="19" t="s">
        <v>32</v>
      </c>
      <c r="C9" s="31">
        <v>44155</v>
      </c>
      <c r="D9" s="19"/>
      <c r="E9" s="19"/>
      <c r="F9" s="20">
        <f>D9*E9</f>
        <v>0</v>
      </c>
      <c r="G9" s="19">
        <v>16000</v>
      </c>
      <c r="H9" s="19">
        <v>1</v>
      </c>
      <c r="I9" s="20">
        <f>G9*H9</f>
        <v>16000</v>
      </c>
      <c r="J9" s="12"/>
      <c r="K9" s="21"/>
    </row>
    <row r="10" spans="1:11">
      <c r="A10" s="45"/>
      <c r="B10" s="19" t="s">
        <v>33</v>
      </c>
      <c r="C10" s="38">
        <v>44162</v>
      </c>
      <c r="D10" s="19"/>
      <c r="E10" s="19"/>
      <c r="F10" s="20">
        <f>D10*E10</f>
        <v>0</v>
      </c>
      <c r="G10" s="19">
        <v>2974</v>
      </c>
      <c r="H10" s="19">
        <v>1</v>
      </c>
      <c r="I10" s="20">
        <f>G10*H10</f>
        <v>2974</v>
      </c>
      <c r="J10" s="12"/>
      <c r="K10" s="21"/>
    </row>
    <row r="11" spans="1:11">
      <c r="A11" s="46"/>
      <c r="B11" s="22" t="s">
        <v>15</v>
      </c>
      <c r="C11" s="22"/>
      <c r="D11" s="23"/>
      <c r="E11" s="23"/>
      <c r="F11" s="24">
        <f>SUM(F9:F10)</f>
        <v>0</v>
      </c>
      <c r="G11" s="23"/>
      <c r="H11" s="23"/>
      <c r="I11" s="24">
        <f>SUM(I9:I10)</f>
        <v>18974</v>
      </c>
      <c r="J11" s="23"/>
      <c r="K11" s="25">
        <f>K8+F11-I11</f>
        <v>243146</v>
      </c>
    </row>
  </sheetData>
  <mergeCells count="11">
    <mergeCell ref="A9:A11"/>
    <mergeCell ref="A4:A6"/>
    <mergeCell ref="A7:A8"/>
    <mergeCell ref="A1:K1"/>
    <mergeCell ref="A2:A3"/>
    <mergeCell ref="B2:B3"/>
    <mergeCell ref="C2:C3"/>
    <mergeCell ref="D2:F2"/>
    <mergeCell ref="G2:I2"/>
    <mergeCell ref="J2:J3"/>
    <mergeCell ref="K2:K3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十月份</vt:lpstr>
      <vt:lpstr>十一月份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2014-05-23T02:03:08Z</cp:lastPrinted>
  <dcterms:created xsi:type="dcterms:W3CDTF">2014-06-12T08:14:46Z</dcterms:created>
  <dcterms:modified xsi:type="dcterms:W3CDTF">2020-12-17T09:02:34Z</dcterms:modified>
</cp:coreProperties>
</file>